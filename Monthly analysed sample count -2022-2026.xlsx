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a8d3cb00e51236aa/Desktop/folder/Sample counts/"/>
    </mc:Choice>
  </mc:AlternateContent>
  <xr:revisionPtr revIDLastSave="19" documentId="13_ncr:1_{EF42C32F-8E4A-4D1A-A4C3-42F5CE80D501}" xr6:coauthVersionLast="47" xr6:coauthVersionMax="47" xr10:uidLastSave="{A391A0E9-4F63-46BC-874D-A913D1CEB6E8}"/>
  <bookViews>
    <workbookView xWindow="-110" yWindow="-110" windowWidth="19420" windowHeight="10420" tabRatio="500" activeTab="5" xr2:uid="{00000000-000D-0000-FFFF-FFFF00000000}"/>
  </bookViews>
  <sheets>
    <sheet name="TOTAL COUNT" sheetId="1" r:id="rId1"/>
    <sheet name="2024" sheetId="2" r:id="rId2"/>
    <sheet name="2025" sheetId="3" r:id="rId3"/>
    <sheet name="NGS" sheetId="4" r:id="rId4"/>
    <sheet name="NICS" sheetId="5" r:id="rId5"/>
    <sheet name="2026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6" l="1"/>
  <c r="C25" i="6"/>
  <c r="D25" i="6"/>
  <c r="E25" i="6"/>
  <c r="N22" i="3" l="1"/>
  <c r="M22" i="3"/>
  <c r="L22" i="3"/>
  <c r="K22" i="3"/>
  <c r="I22" i="3"/>
  <c r="J22" i="3"/>
  <c r="H22" i="3"/>
  <c r="G22" i="3"/>
  <c r="F22" i="3"/>
  <c r="E22" i="3"/>
  <c r="D22" i="3"/>
  <c r="C22" i="3" l="1"/>
  <c r="O22" i="3" s="1"/>
  <c r="F15" i="2" l="1"/>
  <c r="N15" i="2"/>
  <c r="M15" i="2"/>
  <c r="L15" i="2"/>
  <c r="K15" i="2"/>
  <c r="J15" i="2"/>
  <c r="I15" i="2"/>
  <c r="E15" i="2"/>
  <c r="H15" i="2"/>
  <c r="G15" i="2"/>
  <c r="D15" i="2"/>
  <c r="C15" i="2" l="1"/>
  <c r="O15" i="2" s="1"/>
  <c r="C11" i="5" l="1"/>
  <c r="H18" i="4"/>
  <c r="D18" i="4"/>
  <c r="C18" i="4"/>
  <c r="N7" i="4"/>
  <c r="M7" i="4"/>
  <c r="L7" i="4"/>
  <c r="K7" i="4"/>
  <c r="J7" i="4"/>
  <c r="I7" i="4"/>
  <c r="H7" i="4"/>
  <c r="G7" i="4"/>
  <c r="F7" i="4"/>
  <c r="E7" i="4"/>
  <c r="D7" i="4"/>
  <c r="C7" i="4"/>
  <c r="O7" i="4" s="1"/>
</calcChain>
</file>

<file path=xl/sharedStrings.xml><?xml version="1.0" encoding="utf-8"?>
<sst xmlns="http://schemas.openxmlformats.org/spreadsheetml/2006/main" count="196" uniqueCount="67">
  <si>
    <t>NUMBER OF SAMPLES - NGS-2018-2023</t>
  </si>
  <si>
    <t>YEAR</t>
  </si>
  <si>
    <t>COUNT</t>
  </si>
  <si>
    <t>NUMBER OF SAMPLES ANALYSED IN 2024</t>
  </si>
  <si>
    <t>TOTAL COUNT</t>
  </si>
  <si>
    <t>S.NO</t>
  </si>
  <si>
    <t xml:space="preserve">TEST NAME 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</si>
  <si>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</si>
  <si>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</si>
  <si>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</si>
  <si>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</si>
  <si>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</si>
  <si>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</si>
  <si>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</si>
  <si>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</si>
  <si>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</si>
  <si>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</si>
  <si>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</si>
  <si>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</si>
  <si>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CES</t>
  </si>
  <si>
    <t>WES</t>
  </si>
  <si>
    <t>WES + WGMS</t>
  </si>
  <si>
    <t>WGS</t>
  </si>
  <si>
    <t>TOTAL</t>
  </si>
  <si>
    <t>SINGLE GENE – FULL GENE SEQUENCING BY NGS</t>
  </si>
  <si>
    <t>ADVAT Focus carrier screening - NGS</t>
  </si>
  <si>
    <t>COMPREHENSIVE CARRIER SCREENING</t>
  </si>
  <si>
    <t>MALE INFERTILITY NGS PANEL</t>
  </si>
  <si>
    <t>Female Infertility NGS panel</t>
  </si>
  <si>
    <t>NUMBER OF SAMPLES ANALYSED IN NGS-2022</t>
  </si>
  <si>
    <t>EXOMIT</t>
  </si>
  <si>
    <t>HEREDITARY CANCER</t>
  </si>
  <si>
    <t>NUMBER OF SAMPLES ANALYSED IN NGS-2023</t>
  </si>
  <si>
    <t>NUMBER OF SAMPLES ANALYSED IN NGS-2024</t>
  </si>
  <si>
    <t>ADVAT</t>
  </si>
  <si>
    <t>WMGS</t>
  </si>
  <si>
    <t>Male Infertility</t>
  </si>
  <si>
    <t>Female Infertility</t>
  </si>
  <si>
    <t>Reanalysis</t>
  </si>
  <si>
    <t>ANALYSED NICS  SAMPLE COUNT-2022</t>
  </si>
  <si>
    <t>MONTH</t>
  </si>
  <si>
    <t>NO.OF SAMPLES</t>
  </si>
  <si>
    <t>JUL</t>
  </si>
  <si>
    <t>Basic carrier Screening(CES,SMA,DMD)</t>
  </si>
  <si>
    <t>Whole Genome Mitochondrial sequencing</t>
  </si>
  <si>
    <t xml:space="preserve">PREPGT </t>
  </si>
  <si>
    <t>NUMBER OF SAMPLES ANALYSED IN 2025</t>
  </si>
  <si>
    <t>Point mutation testing</t>
  </si>
  <si>
    <t>PKHD1 gene</t>
  </si>
  <si>
    <t>MODY panel</t>
  </si>
  <si>
    <t>HEREDITARY CANCER GENE PANEL</t>
  </si>
  <si>
    <t>cmc=33</t>
  </si>
  <si>
    <t>Alzheimers Disease and Dementia NGS Panel Genes</t>
  </si>
  <si>
    <t>cmc=15</t>
  </si>
  <si>
    <t>Blanks=4</t>
  </si>
  <si>
    <t>HEREDITARY PANCREATITIS PANEL</t>
  </si>
  <si>
    <t>Blanks=29</t>
  </si>
  <si>
    <r>
      <t xml:space="preserve"> </t>
    </r>
    <r>
      <rPr>
        <b/>
        <sz val="18"/>
        <color rgb="FF000000"/>
        <rFont val="Arial"/>
        <family val="2"/>
      </rPr>
      <t>Familial Hypercholestremia gene panel</t>
    </r>
  </si>
  <si>
    <t>Total counts</t>
  </si>
  <si>
    <t>NUMBER OF SAMPLES ANALYSED IN 2026</t>
  </si>
  <si>
    <r>
      <t xml:space="preserve"> </t>
    </r>
    <r>
      <rPr>
        <b/>
        <sz val="14"/>
        <color rgb="FF000000"/>
        <rFont val="Arial"/>
        <family val="2"/>
      </rPr>
      <t>Familial Hypercholestremia gene panel</t>
    </r>
  </si>
  <si>
    <t>WGA+Seq</t>
  </si>
  <si>
    <t>Blank=21</t>
  </si>
  <si>
    <t>Blank=23</t>
  </si>
  <si>
    <t>DYSTONIA DISEASE NGS PANEL GENES (REPRODUCTIVE GENOMICS)</t>
  </si>
  <si>
    <t>WES + WMGS</t>
  </si>
  <si>
    <t>Blank=2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</si>
</sst>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20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FF0000"/>
      <name val="Arial"/>
      <family val="2"/>
    </font>
    <font>
      <sz val="11"/>
      <color rgb="FF000000"/>
      <name val="Calibri"/>
      <family val="2"/>
      <charset val="1"/>
    </font>
    <font>
      <b/>
      <sz val="18"/>
      <color rgb="FF000000"/>
      <name val="Arial"/>
      <family val="2"/>
    </font>
    <font>
      <sz val="22"/>
      <color rgb="FF000000"/>
      <name val="Arial"/>
      <family val="2"/>
    </font>
    <font>
      <sz val="11"/>
      <color rgb="FF000000"/>
      <name val="Arial"/>
      <family val="2"/>
    </font>
    <font>
      <sz val="18"/>
      <color rgb="FF00000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0" fillId="0" borderId="0" xfId="1" applyFont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14" fillId="0" borderId="1" xfId="0" applyFont="1" applyBorder="1"/>
    <xf numFmtId="0" fontId="21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21" fillId="0" borderId="0" xfId="1" applyFont="1" applyAlignment="1">
      <alignment horizontal="center"/>
    </xf>
  </cellXfs>
  <cellStyles count="2">
    <cellStyle name="Normal" xfId="0" builtinId="0"/>
    <cellStyle name="Normal 126 5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zoomScale="75" zoomScaleNormal="75" workbookViewId="0">
      <selection activeCell="I2" sqref="I2"/>
    </sheetView>
  </sheetViews>
  <sheetFormatPr defaultColWidth="8.54296875" defaultRowHeight="14.5" x14ac:dyDescent="0.35"/>
  <cols>
    <col min="1" max="1" width="14.1796875" customWidth="1"/>
    <col min="2" max="2" width="12.26953125" customWidth="1"/>
    <col min="3" max="3" width="11.1796875" customWidth="1"/>
    <col min="4" max="5" width="11" customWidth="1"/>
    <col min="6" max="6" width="10.26953125" customWidth="1"/>
    <col min="7" max="7" width="10.81640625" customWidth="1"/>
  </cols>
  <sheetData>
    <row r="1" spans="1:15" ht="28.5" x14ac:dyDescent="0.65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3.5" x14ac:dyDescent="0.55000000000000004">
      <c r="A2" s="1" t="s">
        <v>1</v>
      </c>
      <c r="B2" s="1">
        <v>2018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</row>
    <row r="3" spans="1:15" s="4" customFormat="1" ht="21" x14ac:dyDescent="0.5">
      <c r="A3" s="2" t="s">
        <v>2</v>
      </c>
      <c r="B3" s="3">
        <v>33</v>
      </c>
      <c r="C3" s="3">
        <v>38</v>
      </c>
      <c r="D3" s="3">
        <v>103</v>
      </c>
      <c r="E3" s="3">
        <v>254</v>
      </c>
      <c r="F3" s="3">
        <v>382</v>
      </c>
      <c r="G3" s="3">
        <v>757</v>
      </c>
    </row>
  </sheetData>
  <mergeCells count="1">
    <mergeCell ref="B1:O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zoomScale="55" zoomScaleNormal="55" workbookViewId="0">
      <selection activeCell="Q9" sqref="Q9"/>
    </sheetView>
  </sheetViews>
  <sheetFormatPr defaultColWidth="9.1796875" defaultRowHeight="14.5" x14ac:dyDescent="0.35"/>
  <cols>
    <col min="1" max="1" width="9.54296875" customWidth="1"/>
    <col min="2" max="2" width="75.81640625" bestFit="1" customWidth="1"/>
    <col min="3" max="3" width="7.1796875" customWidth="1"/>
    <col min="4" max="4" width="7.26953125" bestFit="1" customWidth="1"/>
    <col min="5" max="5" width="9.81640625" bestFit="1" customWidth="1"/>
    <col min="6" max="6" width="7.54296875" bestFit="1" customWidth="1"/>
    <col min="7" max="7" width="7.7265625" bestFit="1" customWidth="1"/>
    <col min="8" max="8" width="7" bestFit="1" customWidth="1"/>
    <col min="9" max="9" width="8.7265625" bestFit="1" customWidth="1"/>
    <col min="10" max="10" width="7.7265625" bestFit="1" customWidth="1"/>
    <col min="11" max="11" width="7.26953125" bestFit="1" customWidth="1"/>
    <col min="12" max="12" width="7.54296875" bestFit="1" customWidth="1"/>
    <col min="13" max="13" width="7.453125" bestFit="1" customWidth="1"/>
    <col min="14" max="14" width="7.54296875" bestFit="1" customWidth="1"/>
    <col min="15" max="15" width="13.54296875" bestFit="1" customWidth="1"/>
  </cols>
  <sheetData>
    <row r="1" spans="1:15" ht="28.5" x14ac:dyDescent="0.65">
      <c r="A1" s="41" t="s">
        <v>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24" t="s">
        <v>4</v>
      </c>
    </row>
    <row r="2" spans="1:15" ht="20" x14ac:dyDescent="0.4">
      <c r="A2" s="25" t="s">
        <v>5</v>
      </c>
      <c r="B2" s="25" t="s">
        <v>6</v>
      </c>
      <c r="C2" s="25" t="s">
        <v>7</v>
      </c>
      <c r="D2" s="2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2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26"/>
    </row>
    <row r="3" spans="1:15" ht="20" x14ac:dyDescent="0.4">
      <c r="A3" s="27">
        <v>1</v>
      </c>
      <c r="B3" s="25" t="s">
        <v>19</v>
      </c>
      <c r="C3" s="28">
        <v>19</v>
      </c>
      <c r="D3" s="28">
        <v>23</v>
      </c>
      <c r="E3" s="28">
        <v>23</v>
      </c>
      <c r="F3" s="28">
        <v>15</v>
      </c>
      <c r="G3" s="28">
        <v>5</v>
      </c>
      <c r="H3" s="28">
        <v>11</v>
      </c>
      <c r="I3" s="28">
        <v>13</v>
      </c>
      <c r="J3" s="28">
        <v>10</v>
      </c>
      <c r="K3" s="28">
        <v>9</v>
      </c>
      <c r="L3" s="28">
        <v>9</v>
      </c>
      <c r="M3" s="28">
        <v>10</v>
      </c>
      <c r="N3" s="28">
        <v>10</v>
      </c>
      <c r="O3" s="29"/>
    </row>
    <row r="4" spans="1:15" ht="20" x14ac:dyDescent="0.4">
      <c r="A4" s="27">
        <v>2</v>
      </c>
      <c r="B4" s="25" t="s">
        <v>20</v>
      </c>
      <c r="C4" s="28">
        <v>47</v>
      </c>
      <c r="D4" s="28">
        <v>49</v>
      </c>
      <c r="E4" s="28">
        <v>46</v>
      </c>
      <c r="F4" s="28">
        <v>54</v>
      </c>
      <c r="G4" s="28">
        <v>58</v>
      </c>
      <c r="H4" s="28">
        <v>53</v>
      </c>
      <c r="I4" s="28">
        <v>68</v>
      </c>
      <c r="J4" s="28">
        <v>65</v>
      </c>
      <c r="K4" s="28">
        <v>77</v>
      </c>
      <c r="L4" s="28">
        <v>66</v>
      </c>
      <c r="M4" s="28">
        <v>61</v>
      </c>
      <c r="N4" s="28">
        <v>69</v>
      </c>
      <c r="O4" s="29"/>
    </row>
    <row r="5" spans="1:15" ht="20" x14ac:dyDescent="0.4">
      <c r="A5" s="27">
        <v>3</v>
      </c>
      <c r="B5" s="25" t="s">
        <v>21</v>
      </c>
      <c r="C5" s="28">
        <v>1</v>
      </c>
      <c r="D5" s="28">
        <v>1</v>
      </c>
      <c r="E5" s="28">
        <v>2</v>
      </c>
      <c r="F5" s="28">
        <v>6</v>
      </c>
      <c r="G5" s="28"/>
      <c r="H5" s="28">
        <v>2</v>
      </c>
      <c r="I5" s="28">
        <v>3</v>
      </c>
      <c r="J5" s="28">
        <v>2</v>
      </c>
      <c r="K5" s="28">
        <v>2</v>
      </c>
      <c r="L5" s="28">
        <v>2</v>
      </c>
      <c r="M5" s="28">
        <v>8</v>
      </c>
      <c r="N5" s="28">
        <v>1</v>
      </c>
      <c r="O5" s="29"/>
    </row>
    <row r="6" spans="1:15" ht="20" x14ac:dyDescent="0.4">
      <c r="A6" s="27">
        <v>4</v>
      </c>
      <c r="B6" s="25" t="s">
        <v>22</v>
      </c>
      <c r="C6" s="28"/>
      <c r="D6" s="28"/>
      <c r="E6" s="28"/>
      <c r="F6" s="28"/>
      <c r="G6" s="28"/>
      <c r="H6" s="28"/>
      <c r="I6" s="28">
        <v>1</v>
      </c>
      <c r="J6" s="28"/>
      <c r="K6" s="28">
        <v>1</v>
      </c>
      <c r="L6" s="28"/>
      <c r="M6" s="28"/>
      <c r="N6" s="28"/>
      <c r="O6" s="29"/>
    </row>
    <row r="7" spans="1:15" ht="20" x14ac:dyDescent="0.4">
      <c r="A7" s="27">
        <v>5</v>
      </c>
      <c r="B7" s="25" t="s">
        <v>44</v>
      </c>
      <c r="C7" s="27"/>
      <c r="D7" s="19"/>
      <c r="E7" s="19">
        <v>1</v>
      </c>
      <c r="F7" s="19"/>
      <c r="G7" s="30"/>
      <c r="H7" s="30"/>
      <c r="I7" s="30"/>
      <c r="J7" s="30"/>
      <c r="K7" s="30"/>
      <c r="L7" s="30"/>
      <c r="M7" s="30"/>
      <c r="N7" s="30"/>
      <c r="O7" s="31"/>
    </row>
    <row r="8" spans="1:15" ht="20" x14ac:dyDescent="0.4">
      <c r="A8" s="27">
        <v>6</v>
      </c>
      <c r="B8" s="25" t="s">
        <v>24</v>
      </c>
      <c r="C8" s="27"/>
      <c r="D8" s="27"/>
      <c r="E8" s="27"/>
      <c r="F8" s="27"/>
      <c r="G8" s="27"/>
      <c r="H8" s="27">
        <v>1</v>
      </c>
      <c r="I8" s="27">
        <v>1</v>
      </c>
      <c r="J8" s="27"/>
      <c r="K8" s="27"/>
      <c r="L8" s="27"/>
      <c r="M8" s="27">
        <v>2</v>
      </c>
      <c r="N8" s="27">
        <v>1</v>
      </c>
      <c r="O8" s="29"/>
    </row>
    <row r="9" spans="1:15" ht="20" x14ac:dyDescent="0.4">
      <c r="A9" s="27">
        <v>7</v>
      </c>
      <c r="B9" s="25" t="s">
        <v>25</v>
      </c>
      <c r="C9" s="27"/>
      <c r="D9" s="27"/>
      <c r="E9" s="27"/>
      <c r="F9" s="27"/>
      <c r="G9" s="27"/>
      <c r="H9" s="27"/>
      <c r="I9" s="27">
        <v>6</v>
      </c>
      <c r="J9" s="27">
        <v>4</v>
      </c>
      <c r="K9" s="27">
        <v>9</v>
      </c>
      <c r="L9" s="27">
        <v>5</v>
      </c>
      <c r="M9" s="27">
        <v>3</v>
      </c>
      <c r="N9" s="27">
        <v>10</v>
      </c>
      <c r="O9" s="29"/>
    </row>
    <row r="10" spans="1:15" ht="20" x14ac:dyDescent="0.4">
      <c r="A10" s="27">
        <v>8</v>
      </c>
      <c r="B10" s="25" t="s">
        <v>26</v>
      </c>
      <c r="C10" s="27"/>
      <c r="D10" s="27"/>
      <c r="E10" s="27"/>
      <c r="F10" s="27"/>
      <c r="G10" s="27"/>
      <c r="H10" s="27"/>
      <c r="I10" s="27">
        <v>3</v>
      </c>
      <c r="J10" s="27">
        <v>2</v>
      </c>
      <c r="K10" s="27">
        <v>1</v>
      </c>
      <c r="L10" s="27">
        <v>1</v>
      </c>
      <c r="M10" s="27">
        <v>2</v>
      </c>
      <c r="N10" s="27">
        <v>5</v>
      </c>
      <c r="O10" s="29"/>
    </row>
    <row r="11" spans="1:15" ht="20" x14ac:dyDescent="0.4">
      <c r="A11" s="27">
        <v>9</v>
      </c>
      <c r="B11" s="25" t="s">
        <v>27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>
        <v>1</v>
      </c>
      <c r="N11" s="27">
        <v>1</v>
      </c>
      <c r="O11" s="29"/>
    </row>
    <row r="12" spans="1:15" ht="20" x14ac:dyDescent="0.4">
      <c r="A12" s="27">
        <v>10</v>
      </c>
      <c r="B12" s="25" t="s">
        <v>28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>
        <v>2</v>
      </c>
      <c r="O12" s="29"/>
    </row>
    <row r="13" spans="1:15" ht="20" x14ac:dyDescent="0.4">
      <c r="A13" s="27">
        <v>11</v>
      </c>
      <c r="B13" s="25" t="s">
        <v>43</v>
      </c>
      <c r="C13" s="27"/>
      <c r="D13" s="27">
        <v>1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9"/>
    </row>
    <row r="14" spans="1:15" ht="20" x14ac:dyDescent="0.4">
      <c r="A14" s="27">
        <v>12</v>
      </c>
      <c r="B14" s="25" t="s">
        <v>45</v>
      </c>
      <c r="C14" s="27"/>
      <c r="D14" s="27"/>
      <c r="E14" s="27"/>
      <c r="F14" s="27"/>
      <c r="G14" s="27"/>
      <c r="H14" s="27"/>
      <c r="I14" s="27"/>
      <c r="J14" s="27"/>
      <c r="K14" s="27"/>
      <c r="L14" s="27">
        <v>4</v>
      </c>
      <c r="M14" s="27"/>
      <c r="N14" s="27">
        <v>3</v>
      </c>
      <c r="O14" s="29"/>
    </row>
    <row r="15" spans="1:15" ht="20" x14ac:dyDescent="0.4">
      <c r="A15" s="27"/>
      <c r="B15" s="25" t="s">
        <v>23</v>
      </c>
      <c r="C15" s="19">
        <f>C3+C4+C5</f>
        <v>67</v>
      </c>
      <c r="D15" s="27">
        <f>D3+D4+D5+D10+D13</f>
        <v>74</v>
      </c>
      <c r="E15" s="27">
        <f>E3+E4+E5+E7</f>
        <v>72</v>
      </c>
      <c r="F15" s="27">
        <f>F3+F4+F5</f>
        <v>75</v>
      </c>
      <c r="G15" s="27">
        <f>G3+G4+G10</f>
        <v>63</v>
      </c>
      <c r="H15" s="27">
        <f>H8+H5+H4+H3</f>
        <v>67</v>
      </c>
      <c r="I15" s="27">
        <f>I3+I4+I5+I6+I8+I9+I10</f>
        <v>95</v>
      </c>
      <c r="J15" s="27">
        <f>J3+J4+J5+J9+J10</f>
        <v>83</v>
      </c>
      <c r="K15" s="27">
        <f>K3+K4+K5+K6+K9+K10</f>
        <v>99</v>
      </c>
      <c r="L15" s="27">
        <f>L3+L4+L5+L9+L10+L14</f>
        <v>87</v>
      </c>
      <c r="M15" s="27">
        <f>M3+M4+M5+M8+M9+M10+M11</f>
        <v>87</v>
      </c>
      <c r="N15" s="27">
        <f>N3+N4+N5+N8+N9+N10+N11+N12+N14</f>
        <v>102</v>
      </c>
      <c r="O15" s="32">
        <f>SUM(C15:N15)</f>
        <v>971</v>
      </c>
    </row>
  </sheetData>
  <mergeCells count="1">
    <mergeCell ref="A1:N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zoomScale="64" zoomScaleNormal="100" workbookViewId="0">
      <selection activeCell="B26" sqref="B26"/>
    </sheetView>
  </sheetViews>
  <sheetFormatPr defaultColWidth="9.1796875" defaultRowHeight="14.5" x14ac:dyDescent="0.35"/>
  <cols>
    <col min="1" max="1" width="8.453125" bestFit="1" customWidth="1"/>
    <col min="2" max="2" width="89.54296875" bestFit="1" customWidth="1"/>
    <col min="3" max="3" width="7.1796875" bestFit="1" customWidth="1"/>
    <col min="4" max="4" width="7.26953125" bestFit="1" customWidth="1"/>
    <col min="5" max="5" width="8" bestFit="1" customWidth="1"/>
    <col min="6" max="6" width="7.54296875" bestFit="1" customWidth="1"/>
    <col min="7" max="7" width="7.7265625" bestFit="1" customWidth="1"/>
    <col min="8" max="8" width="7" bestFit="1" customWidth="1"/>
    <col min="9" max="9" width="8.7265625" bestFit="1" customWidth="1"/>
    <col min="10" max="10" width="7.7265625" bestFit="1" customWidth="1"/>
    <col min="11" max="11" width="7.26953125" bestFit="1" customWidth="1"/>
    <col min="12" max="12" width="8.7265625" bestFit="1" customWidth="1"/>
    <col min="13" max="13" width="9.7265625" bestFit="1" customWidth="1"/>
    <col min="14" max="14" width="10.81640625" bestFit="1" customWidth="1"/>
    <col min="15" max="15" width="13.7265625" bestFit="1" customWidth="1"/>
  </cols>
  <sheetData>
    <row r="1" spans="1:15" ht="27.5" x14ac:dyDescent="0.35">
      <c r="A1" s="42" t="s">
        <v>46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33" t="s">
        <v>58</v>
      </c>
    </row>
    <row r="2" spans="1:15" ht="20" x14ac:dyDescent="0.35">
      <c r="A2" s="19" t="s">
        <v>5</v>
      </c>
      <c r="B2" s="19" t="s">
        <v>6</v>
      </c>
      <c r="C2" s="19" t="s">
        <v>7</v>
      </c>
      <c r="D2" s="19" t="s">
        <v>8</v>
      </c>
      <c r="E2" s="19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9" t="s">
        <v>14</v>
      </c>
      <c r="K2" s="19" t="s">
        <v>15</v>
      </c>
      <c r="L2" s="19" t="s">
        <v>16</v>
      </c>
      <c r="M2" s="19" t="s">
        <v>17</v>
      </c>
      <c r="N2" s="19" t="s">
        <v>18</v>
      </c>
      <c r="O2" s="18"/>
    </row>
    <row r="3" spans="1:15" ht="20" x14ac:dyDescent="0.35">
      <c r="A3" s="18">
        <v>1</v>
      </c>
      <c r="B3" s="19" t="s">
        <v>19</v>
      </c>
      <c r="C3" s="18">
        <v>13</v>
      </c>
      <c r="D3" s="18">
        <v>9</v>
      </c>
      <c r="E3" s="18">
        <v>13</v>
      </c>
      <c r="F3" s="18">
        <v>6</v>
      </c>
      <c r="G3" s="18">
        <v>1</v>
      </c>
      <c r="H3" s="18">
        <v>6</v>
      </c>
      <c r="I3" s="18">
        <v>9</v>
      </c>
      <c r="J3" s="18">
        <v>3</v>
      </c>
      <c r="K3" s="18">
        <v>3</v>
      </c>
      <c r="L3" s="18">
        <v>9</v>
      </c>
      <c r="M3" s="18">
        <v>12</v>
      </c>
      <c r="N3" s="18">
        <v>3</v>
      </c>
      <c r="O3" s="18"/>
    </row>
    <row r="4" spans="1:15" ht="20" x14ac:dyDescent="0.35">
      <c r="A4" s="18">
        <v>2</v>
      </c>
      <c r="B4" s="19" t="s">
        <v>20</v>
      </c>
      <c r="C4" s="18">
        <v>62</v>
      </c>
      <c r="D4" s="18">
        <v>71</v>
      </c>
      <c r="E4" s="18">
        <v>111</v>
      </c>
      <c r="F4" s="18">
        <v>170</v>
      </c>
      <c r="G4" s="18">
        <v>176</v>
      </c>
      <c r="H4" s="18">
        <v>115</v>
      </c>
      <c r="I4" s="18">
        <v>176</v>
      </c>
      <c r="J4" s="18">
        <v>107</v>
      </c>
      <c r="K4" s="18">
        <v>117</v>
      </c>
      <c r="L4" s="18">
        <v>126</v>
      </c>
      <c r="M4" s="18">
        <v>185</v>
      </c>
      <c r="N4" s="18">
        <v>166</v>
      </c>
      <c r="O4" s="18"/>
    </row>
    <row r="5" spans="1:15" ht="20" x14ac:dyDescent="0.35">
      <c r="A5" s="18">
        <v>3</v>
      </c>
      <c r="B5" s="19" t="s">
        <v>21</v>
      </c>
      <c r="C5" s="18">
        <v>3</v>
      </c>
      <c r="D5" s="18">
        <v>3</v>
      </c>
      <c r="E5" s="18">
        <v>4</v>
      </c>
      <c r="F5" s="18">
        <v>2</v>
      </c>
      <c r="G5" s="18">
        <v>3</v>
      </c>
      <c r="H5" s="18">
        <v>7</v>
      </c>
      <c r="I5" s="18">
        <v>15</v>
      </c>
      <c r="J5" s="18">
        <v>60</v>
      </c>
      <c r="K5" s="18">
        <v>49</v>
      </c>
      <c r="L5" s="18">
        <v>27</v>
      </c>
      <c r="M5" s="18">
        <v>41</v>
      </c>
      <c r="N5" s="18">
        <v>42</v>
      </c>
      <c r="O5" s="18"/>
    </row>
    <row r="6" spans="1:15" ht="20" x14ac:dyDescent="0.35">
      <c r="A6" s="18">
        <v>4</v>
      </c>
      <c r="B6" s="19" t="s">
        <v>22</v>
      </c>
      <c r="C6" s="18"/>
      <c r="D6" s="18"/>
      <c r="E6" s="18">
        <v>1</v>
      </c>
      <c r="F6" s="18">
        <v>1</v>
      </c>
      <c r="G6" s="18">
        <v>1</v>
      </c>
      <c r="H6" s="18"/>
      <c r="I6" s="18"/>
      <c r="J6" s="18"/>
      <c r="K6" s="18"/>
      <c r="L6" s="18">
        <v>4</v>
      </c>
      <c r="M6" s="18">
        <v>3</v>
      </c>
      <c r="N6" s="18">
        <v>1</v>
      </c>
      <c r="O6" s="18"/>
    </row>
    <row r="7" spans="1:15" ht="20" x14ac:dyDescent="0.35">
      <c r="A7" s="18">
        <v>5</v>
      </c>
      <c r="B7" s="19" t="s">
        <v>44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20" x14ac:dyDescent="0.35">
      <c r="A8" s="18">
        <v>6</v>
      </c>
      <c r="B8" s="19" t="s">
        <v>24</v>
      </c>
      <c r="C8" s="18">
        <v>1</v>
      </c>
      <c r="D8" s="18">
        <v>1</v>
      </c>
      <c r="E8" s="18">
        <v>5</v>
      </c>
      <c r="F8" s="18">
        <v>2</v>
      </c>
      <c r="G8" s="18">
        <v>3</v>
      </c>
      <c r="H8" s="18">
        <v>1</v>
      </c>
      <c r="I8" s="18"/>
      <c r="J8" s="18">
        <v>2</v>
      </c>
      <c r="K8" s="18"/>
      <c r="L8" s="18">
        <v>1</v>
      </c>
      <c r="M8" s="18">
        <v>3</v>
      </c>
      <c r="N8" s="18">
        <v>4</v>
      </c>
      <c r="O8" s="18"/>
    </row>
    <row r="9" spans="1:15" ht="20" x14ac:dyDescent="0.35">
      <c r="A9" s="18">
        <v>7</v>
      </c>
      <c r="B9" s="19" t="s">
        <v>25</v>
      </c>
      <c r="C9" s="18">
        <v>9</v>
      </c>
      <c r="D9" s="18">
        <v>1</v>
      </c>
      <c r="E9" s="18">
        <v>8</v>
      </c>
      <c r="F9" s="18">
        <v>6</v>
      </c>
      <c r="G9" s="18">
        <v>7</v>
      </c>
      <c r="H9" s="18">
        <v>16</v>
      </c>
      <c r="I9" s="18">
        <v>6</v>
      </c>
      <c r="J9" s="18">
        <v>10</v>
      </c>
      <c r="K9" s="18">
        <v>6</v>
      </c>
      <c r="L9" s="18">
        <v>7</v>
      </c>
      <c r="M9" s="18">
        <v>17</v>
      </c>
      <c r="N9" s="18">
        <v>11</v>
      </c>
      <c r="O9" s="18"/>
    </row>
    <row r="10" spans="1:15" ht="20" x14ac:dyDescent="0.35">
      <c r="A10" s="18">
        <v>8</v>
      </c>
      <c r="B10" s="19" t="s">
        <v>26</v>
      </c>
      <c r="C10" s="18">
        <v>1</v>
      </c>
      <c r="D10" s="18"/>
      <c r="E10" s="18">
        <v>6</v>
      </c>
      <c r="F10" s="18">
        <v>2</v>
      </c>
      <c r="G10" s="18">
        <v>5</v>
      </c>
      <c r="H10" s="18">
        <v>3</v>
      </c>
      <c r="I10" s="18">
        <v>3</v>
      </c>
      <c r="J10" s="18">
        <v>9</v>
      </c>
      <c r="K10" s="18">
        <v>6</v>
      </c>
      <c r="L10" s="18">
        <v>2</v>
      </c>
      <c r="M10" s="18">
        <v>8</v>
      </c>
      <c r="N10" s="18">
        <v>5</v>
      </c>
      <c r="O10" s="18"/>
    </row>
    <row r="11" spans="1:15" ht="20" x14ac:dyDescent="0.35">
      <c r="A11" s="18">
        <v>9</v>
      </c>
      <c r="B11" s="19" t="s">
        <v>27</v>
      </c>
      <c r="C11" s="18">
        <v>1</v>
      </c>
      <c r="D11" s="18">
        <v>1</v>
      </c>
      <c r="E11" s="18">
        <v>3</v>
      </c>
      <c r="F11" s="18">
        <v>1</v>
      </c>
      <c r="G11" s="18">
        <v>1</v>
      </c>
      <c r="H11" s="18">
        <v>1</v>
      </c>
      <c r="I11" s="18">
        <v>2</v>
      </c>
      <c r="J11" s="18">
        <v>6</v>
      </c>
      <c r="K11" s="18">
        <v>9</v>
      </c>
      <c r="L11" s="18">
        <v>3</v>
      </c>
      <c r="M11" s="18">
        <v>1</v>
      </c>
      <c r="N11" s="18">
        <v>1</v>
      </c>
      <c r="O11" s="18"/>
    </row>
    <row r="12" spans="1:15" ht="20" x14ac:dyDescent="0.35">
      <c r="A12" s="18">
        <v>10</v>
      </c>
      <c r="B12" s="19" t="s">
        <v>28</v>
      </c>
      <c r="C12" s="18">
        <v>3</v>
      </c>
      <c r="D12" s="18">
        <v>5</v>
      </c>
      <c r="E12" s="18">
        <v>5</v>
      </c>
      <c r="F12" s="18">
        <v>5</v>
      </c>
      <c r="G12" s="18">
        <v>3</v>
      </c>
      <c r="H12" s="18">
        <v>5</v>
      </c>
      <c r="I12" s="18">
        <v>5</v>
      </c>
      <c r="J12" s="18">
        <v>3</v>
      </c>
      <c r="K12" s="18">
        <v>9</v>
      </c>
      <c r="L12" s="18">
        <v>6</v>
      </c>
      <c r="M12" s="18">
        <v>4</v>
      </c>
      <c r="N12" s="18">
        <v>2</v>
      </c>
      <c r="O12" s="18"/>
    </row>
    <row r="13" spans="1:15" s="17" customFormat="1" ht="23" x14ac:dyDescent="0.35">
      <c r="A13" s="18">
        <v>11</v>
      </c>
      <c r="B13" s="20" t="s">
        <v>57</v>
      </c>
      <c r="C13" s="21"/>
      <c r="D13" s="21"/>
      <c r="E13" s="21">
        <v>1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5" ht="20" x14ac:dyDescent="0.35">
      <c r="A14" s="18">
        <v>12</v>
      </c>
      <c r="B14" s="19" t="s">
        <v>43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20" x14ac:dyDescent="0.35">
      <c r="A15" s="18">
        <v>13</v>
      </c>
      <c r="B15" s="19" t="s">
        <v>47</v>
      </c>
      <c r="C15" s="18">
        <v>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20" x14ac:dyDescent="0.35">
      <c r="A16" s="18">
        <v>14</v>
      </c>
      <c r="B16" s="19" t="s">
        <v>48</v>
      </c>
      <c r="C16" s="18"/>
      <c r="D16" s="18">
        <v>1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20" x14ac:dyDescent="0.35">
      <c r="A17" s="18">
        <v>15</v>
      </c>
      <c r="B17" s="19" t="s">
        <v>49</v>
      </c>
      <c r="C17" s="18"/>
      <c r="D17" s="18"/>
      <c r="E17" s="18">
        <v>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20" x14ac:dyDescent="0.35">
      <c r="A18" s="18">
        <v>16</v>
      </c>
      <c r="B18" s="19" t="s">
        <v>55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>
        <v>1</v>
      </c>
      <c r="O18" s="18"/>
    </row>
    <row r="19" spans="1:15" ht="20" x14ac:dyDescent="0.35">
      <c r="A19" s="18">
        <v>17</v>
      </c>
      <c r="B19" s="19" t="s">
        <v>50</v>
      </c>
      <c r="C19" s="18"/>
      <c r="D19" s="18"/>
      <c r="E19" s="18"/>
      <c r="F19" s="18"/>
      <c r="G19" s="18"/>
      <c r="H19" s="18"/>
      <c r="I19" s="18"/>
      <c r="J19" s="18">
        <v>2</v>
      </c>
      <c r="K19" s="18">
        <v>2</v>
      </c>
      <c r="L19" s="18">
        <v>2</v>
      </c>
      <c r="M19" s="18"/>
      <c r="N19" s="18"/>
      <c r="O19" s="18"/>
    </row>
    <row r="20" spans="1:15" ht="20" x14ac:dyDescent="0.35">
      <c r="A20" s="18">
        <v>18</v>
      </c>
      <c r="B20" s="19" t="s">
        <v>45</v>
      </c>
      <c r="C20" s="18">
        <v>4</v>
      </c>
      <c r="D20" s="18">
        <v>2</v>
      </c>
      <c r="E20" s="18"/>
      <c r="F20" s="18"/>
      <c r="G20" s="18"/>
      <c r="H20" s="18"/>
      <c r="I20" s="18"/>
      <c r="J20" s="18"/>
      <c r="K20" s="18"/>
      <c r="L20" s="18"/>
      <c r="M20" s="18">
        <v>2</v>
      </c>
      <c r="N20" s="18">
        <v>2</v>
      </c>
      <c r="O20" s="18"/>
    </row>
    <row r="21" spans="1:15" ht="23" x14ac:dyDescent="0.35">
      <c r="A21" s="18">
        <v>19</v>
      </c>
      <c r="B21" s="22" t="s">
        <v>52</v>
      </c>
      <c r="C21" s="18"/>
      <c r="D21" s="18"/>
      <c r="E21" s="18"/>
      <c r="F21" s="18"/>
      <c r="G21" s="18"/>
      <c r="H21" s="18"/>
      <c r="I21" s="18"/>
      <c r="J21" s="18"/>
      <c r="K21" s="18"/>
      <c r="L21" s="18">
        <v>1</v>
      </c>
      <c r="M21" s="18"/>
      <c r="N21" s="18"/>
      <c r="O21" s="18"/>
    </row>
    <row r="22" spans="1:15" ht="20" x14ac:dyDescent="0.35">
      <c r="A22" s="18"/>
      <c r="B22" s="19" t="s">
        <v>23</v>
      </c>
      <c r="C22" s="18">
        <f>C20+C15+C12+C11+C10+C9+C8+C5+C4+C3</f>
        <v>100</v>
      </c>
      <c r="D22" s="18">
        <f>D20+D16+D12+D11+D9+D8+D5+D4+D3</f>
        <v>94</v>
      </c>
      <c r="E22" s="18">
        <f>E17+E13+E12+E11+E10+E9+E8+E5+E4+E3+E6</f>
        <v>159</v>
      </c>
      <c r="F22" s="18">
        <f>F12+F11+F10+F9+F8+F6+F5+F4+F3</f>
        <v>195</v>
      </c>
      <c r="G22" s="18">
        <f>G12+G11+G10+G9+G8+G6+G5+G4+G3</f>
        <v>200</v>
      </c>
      <c r="H22" s="18">
        <f>H12+H11+H10+H9+H8+H5+H4+H3</f>
        <v>154</v>
      </c>
      <c r="I22" s="18">
        <f>I12+I11+I10+I9+I5+I4+I3</f>
        <v>216</v>
      </c>
      <c r="J22" s="18">
        <f>J19+J12+J11+J10+J9+J8+J5+J4+J3</f>
        <v>202</v>
      </c>
      <c r="K22" s="18">
        <f>K19+K12+K11+K10+K9+K5+K4+K3</f>
        <v>201</v>
      </c>
      <c r="L22" s="18">
        <f>L21+L19+L12+L11+L10+L9+L8+L6+L5+L4+L3</f>
        <v>188</v>
      </c>
      <c r="M22" s="18">
        <f>M20+M12+M11+M10+M9+M8+M6+M5+M4+M3</f>
        <v>276</v>
      </c>
      <c r="N22" s="18">
        <f>N20+N18+N12+N11+N10+N9+N8+N6+N5+N4+N3</f>
        <v>238</v>
      </c>
      <c r="O22" s="23">
        <f>SUM(C22:N22)</f>
        <v>2223</v>
      </c>
    </row>
    <row r="23" spans="1:15" x14ac:dyDescent="0.35">
      <c r="A23" s="18"/>
      <c r="B23" s="18"/>
      <c r="C23" s="18"/>
      <c r="D23" s="18"/>
      <c r="E23" s="18"/>
      <c r="F23" s="18"/>
      <c r="G23" s="18"/>
      <c r="H23" s="18"/>
      <c r="I23" s="18" t="s">
        <v>51</v>
      </c>
      <c r="J23" s="18"/>
      <c r="K23" s="18"/>
      <c r="L23" s="18" t="s">
        <v>53</v>
      </c>
      <c r="M23" s="18" t="s">
        <v>54</v>
      </c>
      <c r="N23" s="18" t="s">
        <v>56</v>
      </c>
      <c r="O23" s="18"/>
    </row>
  </sheetData>
  <mergeCells count="1">
    <mergeCell ref="A1:N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topLeftCell="A17" zoomScale="75" zoomScaleNormal="75" workbookViewId="0">
      <selection activeCell="A12" sqref="A12:N12"/>
    </sheetView>
  </sheetViews>
  <sheetFormatPr defaultColWidth="8.54296875" defaultRowHeight="14.5" x14ac:dyDescent="0.35"/>
  <cols>
    <col min="2" max="2" width="27.81640625" customWidth="1"/>
    <col min="3" max="11" width="8.7265625" customWidth="1"/>
    <col min="15" max="15" width="26.26953125" customWidth="1"/>
  </cols>
  <sheetData>
    <row r="1" spans="1:15" s="7" customFormat="1" ht="28.5" x14ac:dyDescent="0.65">
      <c r="A1" s="40" t="s">
        <v>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5" t="s">
        <v>4</v>
      </c>
    </row>
    <row r="2" spans="1:15" s="7" customFormat="1" ht="26" x14ac:dyDescent="0.6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</row>
    <row r="3" spans="1:15" ht="21" x14ac:dyDescent="0.5">
      <c r="A3" s="4">
        <v>1</v>
      </c>
      <c r="B3" s="2" t="s">
        <v>19</v>
      </c>
      <c r="C3" s="8">
        <v>19</v>
      </c>
      <c r="D3" s="8">
        <v>14</v>
      </c>
      <c r="E3" s="8">
        <v>14</v>
      </c>
      <c r="F3" s="8">
        <v>10</v>
      </c>
      <c r="G3" s="8">
        <v>21</v>
      </c>
      <c r="H3" s="8">
        <v>18</v>
      </c>
      <c r="I3" s="8">
        <v>8</v>
      </c>
      <c r="J3" s="8">
        <v>2</v>
      </c>
      <c r="K3" s="8">
        <v>0</v>
      </c>
      <c r="L3" s="8">
        <v>0</v>
      </c>
      <c r="M3" s="8">
        <v>13</v>
      </c>
      <c r="N3" s="8">
        <v>17</v>
      </c>
    </row>
    <row r="4" spans="1:15" ht="21" x14ac:dyDescent="0.5">
      <c r="A4" s="4">
        <v>2</v>
      </c>
      <c r="B4" s="2" t="s">
        <v>20</v>
      </c>
      <c r="C4" s="8">
        <v>4</v>
      </c>
      <c r="D4" s="8">
        <v>2</v>
      </c>
      <c r="E4" s="8">
        <v>3</v>
      </c>
      <c r="F4" s="8">
        <v>1</v>
      </c>
      <c r="G4" s="8">
        <v>8</v>
      </c>
      <c r="H4" s="8">
        <v>11</v>
      </c>
      <c r="I4" s="8">
        <v>7</v>
      </c>
      <c r="J4" s="8">
        <v>4</v>
      </c>
      <c r="K4" s="8">
        <v>6</v>
      </c>
      <c r="L4" s="8">
        <v>1</v>
      </c>
      <c r="M4" s="8">
        <v>6</v>
      </c>
      <c r="N4" s="8">
        <v>15</v>
      </c>
    </row>
    <row r="5" spans="1:15" ht="21" x14ac:dyDescent="0.5">
      <c r="A5" s="4">
        <v>3</v>
      </c>
      <c r="B5" s="2" t="s">
        <v>30</v>
      </c>
      <c r="C5" s="8">
        <v>1</v>
      </c>
      <c r="D5" s="8">
        <v>2</v>
      </c>
      <c r="E5" s="8">
        <v>4</v>
      </c>
      <c r="F5" s="8">
        <v>3</v>
      </c>
      <c r="G5" s="8">
        <v>6</v>
      </c>
      <c r="H5" s="8">
        <v>13</v>
      </c>
      <c r="I5" s="8">
        <v>19</v>
      </c>
      <c r="J5" s="8">
        <v>13</v>
      </c>
      <c r="K5" s="8">
        <v>18</v>
      </c>
      <c r="L5" s="8">
        <v>10</v>
      </c>
      <c r="M5" s="8">
        <v>6</v>
      </c>
      <c r="N5" s="8">
        <v>4</v>
      </c>
    </row>
    <row r="6" spans="1:15" ht="21" x14ac:dyDescent="0.5">
      <c r="A6" s="4">
        <v>4</v>
      </c>
      <c r="B6" s="2" t="s">
        <v>31</v>
      </c>
      <c r="C6" s="8">
        <v>5</v>
      </c>
      <c r="D6" s="8">
        <v>5</v>
      </c>
      <c r="E6" s="8">
        <v>4</v>
      </c>
      <c r="F6" s="8">
        <v>2</v>
      </c>
      <c r="G6" s="8">
        <v>6</v>
      </c>
      <c r="H6" s="8">
        <v>2</v>
      </c>
      <c r="I6" s="8">
        <v>6</v>
      </c>
      <c r="J6" s="8">
        <v>3</v>
      </c>
      <c r="K6" s="8">
        <v>18</v>
      </c>
      <c r="L6" s="8">
        <v>9</v>
      </c>
      <c r="M6" s="8">
        <v>12</v>
      </c>
      <c r="N6" s="8">
        <v>7</v>
      </c>
    </row>
    <row r="7" spans="1:15" ht="21" x14ac:dyDescent="0.5">
      <c r="A7" s="4"/>
      <c r="B7" s="13" t="s">
        <v>23</v>
      </c>
      <c r="C7" s="10">
        <f t="shared" ref="C7:J7" si="0">SUM(C3:C6)</f>
        <v>29</v>
      </c>
      <c r="D7" s="10">
        <f t="shared" si="0"/>
        <v>23</v>
      </c>
      <c r="E7" s="10">
        <f t="shared" si="0"/>
        <v>25</v>
      </c>
      <c r="F7" s="10">
        <f t="shared" si="0"/>
        <v>16</v>
      </c>
      <c r="G7" s="11">
        <f t="shared" si="0"/>
        <v>41</v>
      </c>
      <c r="H7" s="11">
        <f t="shared" si="0"/>
        <v>44</v>
      </c>
      <c r="I7" s="11">
        <f t="shared" si="0"/>
        <v>40</v>
      </c>
      <c r="J7" s="11">
        <f t="shared" si="0"/>
        <v>22</v>
      </c>
      <c r="K7" s="11">
        <f>K3+K4+K5+K6</f>
        <v>42</v>
      </c>
      <c r="L7" s="11">
        <f>L3+L4+L5+L6</f>
        <v>20</v>
      </c>
      <c r="M7" s="11">
        <f>M3+M4+M5+M6</f>
        <v>37</v>
      </c>
      <c r="N7" s="11">
        <f>N3+N4+N5+N6</f>
        <v>43</v>
      </c>
      <c r="O7" s="12">
        <f>C7+D7+E7+F7+G7+H7+I7+J7+K7+L7+M7+N7</f>
        <v>382</v>
      </c>
    </row>
    <row r="12" spans="1:15" s="7" customFormat="1" ht="28.5" x14ac:dyDescent="0.65">
      <c r="A12" s="40" t="s">
        <v>32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5" t="s">
        <v>4</v>
      </c>
    </row>
    <row r="13" spans="1:15" s="7" customFormat="1" ht="26" x14ac:dyDescent="0.6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  <c r="F13" s="6" t="s">
        <v>10</v>
      </c>
      <c r="G13" s="6" t="s">
        <v>11</v>
      </c>
      <c r="H13" s="6" t="s">
        <v>12</v>
      </c>
      <c r="I13" s="6" t="s">
        <v>13</v>
      </c>
      <c r="J13" s="6" t="s">
        <v>14</v>
      </c>
      <c r="K13" s="6" t="s">
        <v>15</v>
      </c>
      <c r="L13" s="6" t="s">
        <v>16</v>
      </c>
      <c r="M13" s="6" t="s">
        <v>17</v>
      </c>
      <c r="N13" s="6" t="s">
        <v>18</v>
      </c>
    </row>
    <row r="14" spans="1:15" ht="21" x14ac:dyDescent="0.5">
      <c r="A14" s="4">
        <v>1</v>
      </c>
      <c r="B14" s="2" t="s">
        <v>19</v>
      </c>
      <c r="C14" s="8">
        <v>27</v>
      </c>
      <c r="D14" s="8">
        <v>28</v>
      </c>
      <c r="E14" s="8">
        <v>34</v>
      </c>
      <c r="F14" s="8">
        <v>20</v>
      </c>
      <c r="G14" s="8">
        <v>32</v>
      </c>
      <c r="H14" s="8">
        <v>27</v>
      </c>
      <c r="I14" s="8">
        <v>22</v>
      </c>
      <c r="J14" s="8">
        <v>25</v>
      </c>
      <c r="K14" s="8">
        <v>33</v>
      </c>
      <c r="L14" s="8">
        <v>28</v>
      </c>
      <c r="M14" s="8">
        <v>27</v>
      </c>
      <c r="N14" s="8">
        <v>13</v>
      </c>
    </row>
    <row r="15" spans="1:15" ht="21" x14ac:dyDescent="0.5">
      <c r="A15" s="4">
        <v>2</v>
      </c>
      <c r="B15" s="2" t="s">
        <v>20</v>
      </c>
      <c r="C15" s="8">
        <v>22</v>
      </c>
      <c r="D15" s="8">
        <v>11</v>
      </c>
      <c r="E15" s="8">
        <v>20</v>
      </c>
      <c r="F15" s="8">
        <v>34</v>
      </c>
      <c r="G15" s="8">
        <v>36</v>
      </c>
      <c r="H15" s="8">
        <v>28</v>
      </c>
      <c r="I15" s="8">
        <v>26</v>
      </c>
      <c r="J15" s="8">
        <v>41</v>
      </c>
      <c r="K15" s="8">
        <v>66</v>
      </c>
      <c r="L15" s="8">
        <v>41</v>
      </c>
      <c r="M15" s="8">
        <v>44</v>
      </c>
      <c r="N15" s="8">
        <v>45</v>
      </c>
    </row>
    <row r="16" spans="1:15" ht="21" x14ac:dyDescent="0.5">
      <c r="A16" s="4">
        <v>3</v>
      </c>
      <c r="B16" s="2" t="s">
        <v>21</v>
      </c>
      <c r="C16" s="8">
        <v>5</v>
      </c>
      <c r="D16" s="8">
        <v>2</v>
      </c>
      <c r="E16" s="8"/>
      <c r="F16" s="8">
        <v>1</v>
      </c>
      <c r="G16" s="8">
        <v>1</v>
      </c>
      <c r="H16" s="8">
        <v>1</v>
      </c>
      <c r="I16" s="8">
        <v>2</v>
      </c>
      <c r="J16" s="8">
        <v>4</v>
      </c>
      <c r="K16" s="8">
        <v>3</v>
      </c>
      <c r="L16" s="8">
        <v>2</v>
      </c>
      <c r="M16" s="8">
        <v>4</v>
      </c>
      <c r="N16" s="8">
        <v>1</v>
      </c>
    </row>
    <row r="17" spans="1:15" ht="21" x14ac:dyDescent="0.5">
      <c r="A17" s="4">
        <v>4</v>
      </c>
      <c r="B17" s="2" t="s">
        <v>22</v>
      </c>
      <c r="C17" s="8"/>
      <c r="D17" s="8"/>
      <c r="E17" s="8"/>
      <c r="F17" s="8"/>
      <c r="G17" s="8"/>
      <c r="H17" s="8"/>
      <c r="I17" s="8"/>
      <c r="J17" s="8">
        <v>1</v>
      </c>
      <c r="K17" s="8"/>
      <c r="L17" s="8"/>
      <c r="M17" s="8"/>
      <c r="N17" s="8"/>
    </row>
    <row r="18" spans="1:15" ht="21" x14ac:dyDescent="0.5">
      <c r="A18" s="4"/>
      <c r="B18" s="9" t="s">
        <v>23</v>
      </c>
      <c r="C18" s="10">
        <f>SUM(C14:C16)</f>
        <v>54</v>
      </c>
      <c r="D18" s="10">
        <f>SUM(D14:D16)</f>
        <v>41</v>
      </c>
      <c r="E18" s="10">
        <v>54</v>
      </c>
      <c r="F18" s="10">
        <v>55</v>
      </c>
      <c r="G18" s="11">
        <v>69</v>
      </c>
      <c r="H18" s="11">
        <f>SUM(H14:H16)</f>
        <v>56</v>
      </c>
      <c r="I18" s="11">
        <v>50</v>
      </c>
      <c r="J18" s="11">
        <v>71</v>
      </c>
      <c r="K18" s="11">
        <v>102</v>
      </c>
      <c r="L18" s="11">
        <v>71</v>
      </c>
      <c r="M18" s="11">
        <v>75</v>
      </c>
      <c r="N18" s="11">
        <v>59</v>
      </c>
      <c r="O18" s="12">
        <v>757</v>
      </c>
    </row>
    <row r="19" spans="1:15" ht="21" x14ac:dyDescent="0.35">
      <c r="F19" s="8"/>
      <c r="G19" s="8"/>
      <c r="H19" s="8"/>
      <c r="I19" s="8"/>
    </row>
    <row r="20" spans="1:15" s="7" customFormat="1" ht="28.5" x14ac:dyDescent="0.65">
      <c r="A20" s="40" t="s">
        <v>33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5" t="s">
        <v>4</v>
      </c>
    </row>
    <row r="21" spans="1:15" s="7" customFormat="1" ht="26" x14ac:dyDescent="0.6">
      <c r="A21" s="6" t="s">
        <v>5</v>
      </c>
      <c r="B21" s="6" t="s">
        <v>6</v>
      </c>
      <c r="C21" s="6" t="s">
        <v>7</v>
      </c>
      <c r="D21" s="6" t="s">
        <v>8</v>
      </c>
      <c r="E21" s="6" t="s">
        <v>9</v>
      </c>
      <c r="F21" s="6" t="s">
        <v>10</v>
      </c>
      <c r="G21" s="6" t="s">
        <v>11</v>
      </c>
      <c r="H21" s="6" t="s">
        <v>12</v>
      </c>
      <c r="I21" s="6" t="s">
        <v>13</v>
      </c>
      <c r="J21" s="6" t="s">
        <v>14</v>
      </c>
      <c r="K21" s="6" t="s">
        <v>15</v>
      </c>
      <c r="L21" s="6" t="s">
        <v>16</v>
      </c>
      <c r="M21" s="6" t="s">
        <v>17</v>
      </c>
      <c r="N21" s="6" t="s">
        <v>18</v>
      </c>
    </row>
    <row r="22" spans="1:15" ht="21" x14ac:dyDescent="0.5">
      <c r="A22" s="4">
        <v>1</v>
      </c>
      <c r="B22" s="2" t="s">
        <v>19</v>
      </c>
      <c r="C22" s="8">
        <v>19</v>
      </c>
      <c r="D22" s="8">
        <v>24</v>
      </c>
      <c r="E22" s="8">
        <v>23</v>
      </c>
      <c r="F22" s="8">
        <v>15</v>
      </c>
      <c r="G22" s="8">
        <v>5</v>
      </c>
      <c r="H22" s="8">
        <v>11</v>
      </c>
      <c r="I22" s="8">
        <v>11</v>
      </c>
      <c r="J22" s="8">
        <v>10</v>
      </c>
      <c r="K22" s="8">
        <v>6</v>
      </c>
      <c r="L22" s="8">
        <v>9</v>
      </c>
      <c r="M22" s="8"/>
      <c r="N22" s="8"/>
    </row>
    <row r="23" spans="1:15" ht="21" x14ac:dyDescent="0.5">
      <c r="A23" s="4">
        <v>2</v>
      </c>
      <c r="B23" s="2" t="s">
        <v>20</v>
      </c>
      <c r="C23" s="8">
        <v>46</v>
      </c>
      <c r="D23" s="8">
        <v>47</v>
      </c>
      <c r="E23" s="8">
        <v>46</v>
      </c>
      <c r="F23" s="8">
        <v>55</v>
      </c>
      <c r="G23" s="8">
        <v>58</v>
      </c>
      <c r="H23" s="8">
        <v>54</v>
      </c>
      <c r="I23" s="8">
        <v>72</v>
      </c>
      <c r="J23" s="8">
        <v>67</v>
      </c>
      <c r="K23" s="8">
        <v>80</v>
      </c>
      <c r="L23" s="8">
        <v>68</v>
      </c>
      <c r="M23" s="8"/>
      <c r="N23" s="8"/>
    </row>
    <row r="24" spans="1:15" ht="21" x14ac:dyDescent="0.5">
      <c r="A24" s="4">
        <v>3</v>
      </c>
      <c r="B24" s="2" t="s">
        <v>21</v>
      </c>
      <c r="C24" s="8">
        <v>1</v>
      </c>
      <c r="D24" s="8">
        <v>1</v>
      </c>
      <c r="E24" s="8">
        <v>2</v>
      </c>
      <c r="F24" s="8">
        <v>6</v>
      </c>
      <c r="G24" s="8">
        <v>0</v>
      </c>
      <c r="H24" s="8">
        <v>2</v>
      </c>
      <c r="I24" s="8">
        <v>3</v>
      </c>
      <c r="J24" s="8">
        <v>2</v>
      </c>
      <c r="K24" s="8">
        <v>2</v>
      </c>
      <c r="L24" s="8">
        <v>2</v>
      </c>
      <c r="M24" s="8"/>
      <c r="N24" s="8"/>
    </row>
    <row r="25" spans="1:15" ht="21" x14ac:dyDescent="0.5">
      <c r="A25" s="4">
        <v>4</v>
      </c>
      <c r="B25" s="2" t="s">
        <v>22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0</v>
      </c>
      <c r="K25" s="8">
        <v>1</v>
      </c>
      <c r="L25" s="8">
        <v>0</v>
      </c>
      <c r="M25" s="8"/>
      <c r="N25" s="8"/>
    </row>
    <row r="26" spans="1:15" ht="21" x14ac:dyDescent="0.5">
      <c r="A26" s="4">
        <v>5</v>
      </c>
      <c r="B26" s="9" t="s">
        <v>34</v>
      </c>
      <c r="C26" s="8">
        <v>0</v>
      </c>
      <c r="D26" s="8">
        <v>0</v>
      </c>
      <c r="E26" s="8">
        <v>0</v>
      </c>
      <c r="F26" s="8">
        <v>2</v>
      </c>
      <c r="G26" s="8">
        <v>3</v>
      </c>
      <c r="H26" s="8">
        <v>6</v>
      </c>
      <c r="I26" s="8">
        <v>7</v>
      </c>
      <c r="J26" s="8">
        <v>4</v>
      </c>
      <c r="K26" s="8">
        <v>9</v>
      </c>
      <c r="L26" s="11">
        <v>5</v>
      </c>
      <c r="M26" s="11"/>
      <c r="N26" s="11"/>
      <c r="O26" s="12"/>
    </row>
    <row r="27" spans="1:15" ht="21" x14ac:dyDescent="0.5">
      <c r="A27" s="4">
        <v>6</v>
      </c>
      <c r="B27" s="9" t="s">
        <v>35</v>
      </c>
      <c r="C27" s="8">
        <v>0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11">
        <v>0</v>
      </c>
      <c r="M27" s="11"/>
      <c r="N27" s="11"/>
      <c r="O27" s="12"/>
    </row>
    <row r="28" spans="1:15" ht="21" x14ac:dyDescent="0.5">
      <c r="A28" s="4">
        <v>7</v>
      </c>
      <c r="B28" s="9" t="s">
        <v>36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1</v>
      </c>
      <c r="L28" s="8">
        <v>2</v>
      </c>
      <c r="M28" s="11"/>
      <c r="N28" s="11"/>
      <c r="O28" s="12"/>
    </row>
    <row r="29" spans="1:15" ht="21" x14ac:dyDescent="0.5">
      <c r="A29" s="4">
        <v>8</v>
      </c>
      <c r="B29" s="9" t="s">
        <v>37</v>
      </c>
      <c r="C29" s="8">
        <v>0</v>
      </c>
      <c r="D29" s="8">
        <v>2</v>
      </c>
      <c r="E29" s="8">
        <v>0</v>
      </c>
      <c r="F29" s="8">
        <v>0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11"/>
      <c r="N29" s="11"/>
      <c r="O29" s="12"/>
    </row>
    <row r="30" spans="1:15" ht="21" x14ac:dyDescent="0.5">
      <c r="A30" s="4">
        <v>9</v>
      </c>
      <c r="B30" s="9" t="s">
        <v>38</v>
      </c>
      <c r="C30" s="8">
        <v>0</v>
      </c>
      <c r="D30" s="8">
        <v>3</v>
      </c>
      <c r="E30" s="8">
        <v>3</v>
      </c>
      <c r="F30" s="8">
        <v>6</v>
      </c>
      <c r="G30" s="8">
        <v>3</v>
      </c>
      <c r="H30" s="8">
        <v>0</v>
      </c>
      <c r="I30" s="8">
        <v>4</v>
      </c>
      <c r="J30" s="8">
        <v>6</v>
      </c>
      <c r="K30" s="8">
        <v>0</v>
      </c>
      <c r="L30" s="11">
        <v>0</v>
      </c>
      <c r="M30" s="11"/>
      <c r="N30" s="11"/>
      <c r="O30" s="12"/>
    </row>
    <row r="31" spans="1:15" ht="21" x14ac:dyDescent="0.5">
      <c r="B31" s="9" t="s">
        <v>23</v>
      </c>
      <c r="C31" s="10">
        <v>66</v>
      </c>
      <c r="D31" s="10">
        <v>77</v>
      </c>
      <c r="E31" s="10">
        <v>75</v>
      </c>
      <c r="F31" s="10">
        <v>84</v>
      </c>
      <c r="G31" s="10">
        <v>72</v>
      </c>
      <c r="H31" s="10">
        <v>73</v>
      </c>
      <c r="I31" s="10">
        <v>98</v>
      </c>
      <c r="J31" s="10">
        <v>89</v>
      </c>
      <c r="K31" s="10">
        <v>99</v>
      </c>
      <c r="L31" s="10">
        <v>87</v>
      </c>
      <c r="O31" s="12">
        <v>820</v>
      </c>
    </row>
    <row r="32" spans="1:15" ht="18.5" x14ac:dyDescent="0.35">
      <c r="C32" s="10"/>
      <c r="D32" s="10"/>
      <c r="E32" s="10"/>
      <c r="F32" s="10"/>
      <c r="G32" s="10"/>
      <c r="H32" s="10"/>
      <c r="I32" s="10"/>
      <c r="J32" s="10"/>
      <c r="K32" s="10"/>
    </row>
    <row r="33" spans="3:11" ht="18.5" x14ac:dyDescent="0.35">
      <c r="C33" s="10"/>
      <c r="D33" s="10"/>
      <c r="E33" s="10"/>
      <c r="F33" s="10"/>
      <c r="G33" s="10"/>
      <c r="H33" s="10"/>
      <c r="I33" s="10"/>
      <c r="J33" s="10"/>
      <c r="K33" s="10"/>
    </row>
  </sheetData>
  <mergeCells count="3">
    <mergeCell ref="A1:N1"/>
    <mergeCell ref="A12:N12"/>
    <mergeCell ref="A20:N20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zoomScale="75" zoomScaleNormal="75" workbookViewId="0">
      <selection activeCell="H14" sqref="H14"/>
    </sheetView>
  </sheetViews>
  <sheetFormatPr defaultColWidth="8.54296875" defaultRowHeight="14.5" x14ac:dyDescent="0.35"/>
  <cols>
    <col min="1" max="1" width="8.7265625" customWidth="1"/>
    <col min="2" max="2" width="26.453125" customWidth="1"/>
    <col min="3" max="3" width="35" customWidth="1"/>
  </cols>
  <sheetData>
    <row r="1" spans="1:3" ht="26" x14ac:dyDescent="0.6">
      <c r="A1" s="43" t="s">
        <v>39</v>
      </c>
      <c r="B1" s="43"/>
      <c r="C1" s="43"/>
    </row>
    <row r="2" spans="1:3" ht="23.5" x14ac:dyDescent="0.55000000000000004">
      <c r="A2" s="14" t="s">
        <v>5</v>
      </c>
      <c r="B2" s="1" t="s">
        <v>40</v>
      </c>
      <c r="C2" s="1" t="s">
        <v>41</v>
      </c>
    </row>
    <row r="3" spans="1:3" ht="23.5" x14ac:dyDescent="0.55000000000000004">
      <c r="A3" s="14">
        <v>1</v>
      </c>
      <c r="B3" s="14" t="s">
        <v>7</v>
      </c>
      <c r="C3" s="15">
        <v>7</v>
      </c>
    </row>
    <row r="4" spans="1:3" ht="23.5" x14ac:dyDescent="0.55000000000000004">
      <c r="A4" s="14">
        <v>2</v>
      </c>
      <c r="B4" s="14" t="s">
        <v>8</v>
      </c>
      <c r="C4" s="15">
        <v>8</v>
      </c>
    </row>
    <row r="5" spans="1:3" ht="23.5" x14ac:dyDescent="0.55000000000000004">
      <c r="A5" s="14">
        <v>3</v>
      </c>
      <c r="B5" s="14" t="s">
        <v>9</v>
      </c>
      <c r="C5" s="15">
        <v>0</v>
      </c>
    </row>
    <row r="6" spans="1:3" ht="23.5" x14ac:dyDescent="0.55000000000000004">
      <c r="A6" s="14">
        <v>4</v>
      </c>
      <c r="B6" s="14" t="s">
        <v>10</v>
      </c>
      <c r="C6" s="15">
        <v>0</v>
      </c>
    </row>
    <row r="7" spans="1:3" ht="23.5" x14ac:dyDescent="0.55000000000000004">
      <c r="A7" s="14">
        <v>5</v>
      </c>
      <c r="B7" s="14" t="s">
        <v>11</v>
      </c>
      <c r="C7" s="15">
        <v>0</v>
      </c>
    </row>
    <row r="8" spans="1:3" ht="23.5" x14ac:dyDescent="0.55000000000000004">
      <c r="A8" s="14">
        <v>6</v>
      </c>
      <c r="B8" s="14" t="s">
        <v>12</v>
      </c>
      <c r="C8" s="15">
        <v>15</v>
      </c>
    </row>
    <row r="9" spans="1:3" ht="23.5" x14ac:dyDescent="0.55000000000000004">
      <c r="A9" s="14">
        <v>7</v>
      </c>
      <c r="B9" s="14" t="s">
        <v>42</v>
      </c>
      <c r="C9" s="15">
        <v>23</v>
      </c>
    </row>
    <row r="10" spans="1:3" ht="23.5" x14ac:dyDescent="0.55000000000000004">
      <c r="A10" s="14">
        <v>8</v>
      </c>
      <c r="B10" s="14" t="s">
        <v>14</v>
      </c>
      <c r="C10" s="15">
        <v>9</v>
      </c>
    </row>
    <row r="11" spans="1:3" ht="23.5" x14ac:dyDescent="0.55000000000000004">
      <c r="B11" s="16" t="s">
        <v>23</v>
      </c>
      <c r="C11" s="9">
        <f>SUM(C3:C10)</f>
        <v>62</v>
      </c>
    </row>
  </sheetData>
  <mergeCells count="1">
    <mergeCell ref="A1:C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tabSelected="1" topLeftCell="B6" zoomScale="80" zoomScaleNormal="80" workbookViewId="0">
      <selection activeCell="F26" sqref="F26"/>
    </sheetView>
  </sheetViews>
  <sheetFormatPr defaultRowHeight="14.5" x14ac:dyDescent="0.35"/>
  <cols>
    <col min="1" max="1" width="8.453125" bestFit="1" customWidth="1"/>
    <col min="2" max="2" width="89.54296875" bestFit="1" customWidth="1"/>
    <col min="3" max="4" width="13" bestFit="1" customWidth="1"/>
    <col min="5" max="5" width="13.90625" customWidth="1"/>
    <col min="6" max="6" width="10.26953125" customWidth="1"/>
    <col min="7" max="7" width="7.7265625" bestFit="1" customWidth="1"/>
    <col min="8" max="8" width="7" bestFit="1" customWidth="1"/>
    <col min="9" max="9" width="8.7265625" bestFit="1" customWidth="1"/>
    <col min="10" max="10" width="7.7265625" bestFit="1" customWidth="1"/>
    <col min="11" max="11" width="7.26953125" bestFit="1" customWidth="1"/>
    <col min="12" max="12" width="8.7265625" bestFit="1" customWidth="1"/>
    <col min="13" max="13" width="9.7265625" bestFit="1" customWidth="1"/>
    <col min="14" max="14" width="10.81640625" bestFit="1" customWidth="1"/>
    <col min="15" max="15" width="17.1796875" bestFit="1" customWidth="1"/>
  </cols>
  <sheetData>
    <row r="1" spans="1:15" ht="18" x14ac:dyDescent="0.35">
      <c r="A1" s="44" t="s">
        <v>59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34" t="s">
        <v>58</v>
      </c>
    </row>
    <row r="2" spans="1:15" ht="18" x14ac:dyDescent="0.35">
      <c r="A2" s="35" t="s">
        <v>5</v>
      </c>
      <c r="B2" s="35" t="s">
        <v>6</v>
      </c>
      <c r="C2" s="35" t="s">
        <v>7</v>
      </c>
      <c r="D2" s="35" t="s">
        <v>8</v>
      </c>
      <c r="E2" s="35" t="s">
        <v>9</v>
      </c>
      <c r="F2" s="35" t="s">
        <v>10</v>
      </c>
      <c r="G2" s="35" t="s">
        <v>11</v>
      </c>
      <c r="H2" s="35" t="s">
        <v>12</v>
      </c>
      <c r="I2" s="35" t="s">
        <v>13</v>
      </c>
      <c r="J2" s="35" t="s">
        <v>14</v>
      </c>
      <c r="K2" s="35" t="s">
        <v>15</v>
      </c>
      <c r="L2" s="35" t="s">
        <v>16</v>
      </c>
      <c r="M2" s="35" t="s">
        <v>17</v>
      </c>
      <c r="N2" s="35" t="s">
        <v>18</v>
      </c>
      <c r="O2" s="36"/>
    </row>
    <row r="3" spans="1:15" ht="18" x14ac:dyDescent="0.35">
      <c r="A3" s="36">
        <v>1</v>
      </c>
      <c r="B3" s="35" t="s">
        <v>19</v>
      </c>
      <c r="C3" s="36">
        <v>15</v>
      </c>
      <c r="D3" s="36">
        <v>11</v>
      </c>
      <c r="E3" s="36">
        <v>7</v>
      </c>
      <c r="F3" s="36">
        <v>11</v>
      </c>
      <c r="G3" s="36"/>
      <c r="H3" s="36"/>
      <c r="I3" s="36"/>
      <c r="J3" s="36"/>
      <c r="K3" s="36"/>
      <c r="L3" s="36"/>
      <c r="M3" s="36"/>
      <c r="N3" s="36"/>
      <c r="O3" s="36"/>
    </row>
    <row r="4" spans="1:15" ht="18" x14ac:dyDescent="0.35">
      <c r="A4" s="36">
        <v>2</v>
      </c>
      <c r="B4" s="35" t="s">
        <v>20</v>
      </c>
      <c r="C4" s="36">
        <v>172</v>
      </c>
      <c r="D4" s="36">
        <v>186</v>
      </c>
      <c r="E4" s="36">
        <v>197</v>
      </c>
      <c r="F4" s="36">
        <v>194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8" x14ac:dyDescent="0.35">
      <c r="A5" s="36">
        <v>3</v>
      </c>
      <c r="B5" s="35" t="s">
        <v>65</v>
      </c>
      <c r="C5" s="36">
        <v>50</v>
      </c>
      <c r="D5" s="36">
        <v>57</v>
      </c>
      <c r="E5" s="36">
        <v>52</v>
      </c>
      <c r="F5" s="36">
        <v>23</v>
      </c>
      <c r="G5" s="36"/>
      <c r="H5" s="36"/>
      <c r="I5" s="36"/>
      <c r="J5" s="36"/>
      <c r="K5" s="36"/>
      <c r="L5" s="36"/>
      <c r="M5" s="36"/>
      <c r="N5" s="36"/>
      <c r="O5" s="36"/>
    </row>
    <row r="6" spans="1:15" ht="18" x14ac:dyDescent="0.35">
      <c r="A6" s="36">
        <v>4</v>
      </c>
      <c r="B6" s="35" t="s">
        <v>22</v>
      </c>
      <c r="C6" s="36">
        <v>7</v>
      </c>
      <c r="D6" s="36">
        <v>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18" x14ac:dyDescent="0.35">
      <c r="A7" s="36">
        <v>5</v>
      </c>
      <c r="B7" s="35" t="s">
        <v>44</v>
      </c>
      <c r="C7" s="36"/>
      <c r="D7" s="36">
        <v>1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15" ht="18" x14ac:dyDescent="0.35">
      <c r="A8" s="36">
        <v>6</v>
      </c>
      <c r="B8" s="35" t="s">
        <v>24</v>
      </c>
      <c r="C8" s="36">
        <v>1</v>
      </c>
      <c r="D8" s="36">
        <v>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15" ht="18" x14ac:dyDescent="0.35">
      <c r="A9" s="36">
        <v>7</v>
      </c>
      <c r="B9" s="35" t="s">
        <v>25</v>
      </c>
      <c r="C9" s="36">
        <v>9</v>
      </c>
      <c r="D9" s="36">
        <v>8</v>
      </c>
      <c r="E9" s="36">
        <v>10</v>
      </c>
      <c r="F9" s="36">
        <v>8</v>
      </c>
      <c r="G9" s="36"/>
      <c r="H9" s="36"/>
      <c r="I9" s="36"/>
      <c r="J9" s="36"/>
      <c r="K9" s="36"/>
      <c r="L9" s="36"/>
      <c r="M9" s="36"/>
      <c r="N9" s="36"/>
      <c r="O9" s="36"/>
    </row>
    <row r="10" spans="1:15" ht="18" x14ac:dyDescent="0.35">
      <c r="A10" s="36">
        <v>8</v>
      </c>
      <c r="B10" s="35" t="s">
        <v>26</v>
      </c>
      <c r="C10" s="36">
        <v>5</v>
      </c>
      <c r="D10" s="36">
        <v>2</v>
      </c>
      <c r="E10" s="36">
        <v>5</v>
      </c>
      <c r="F10" s="36">
        <v>3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 ht="18" x14ac:dyDescent="0.35">
      <c r="A11" s="36">
        <v>9</v>
      </c>
      <c r="B11" s="35" t="s">
        <v>27</v>
      </c>
      <c r="C11" s="36"/>
      <c r="D11" s="36">
        <v>6</v>
      </c>
      <c r="E11" s="36">
        <v>13</v>
      </c>
      <c r="F11" s="36">
        <v>4</v>
      </c>
      <c r="G11" s="36"/>
      <c r="H11" s="36"/>
      <c r="I11" s="36"/>
      <c r="J11" s="36"/>
      <c r="K11" s="36"/>
      <c r="L11" s="36"/>
      <c r="M11" s="36"/>
      <c r="N11" s="36"/>
      <c r="O11" s="36"/>
    </row>
    <row r="12" spans="1:15" ht="18" x14ac:dyDescent="0.35">
      <c r="A12" s="36">
        <v>10</v>
      </c>
      <c r="B12" s="35" t="s">
        <v>28</v>
      </c>
      <c r="C12" s="36">
        <v>7</v>
      </c>
      <c r="D12" s="36">
        <v>6</v>
      </c>
      <c r="E12" s="36">
        <v>18</v>
      </c>
      <c r="F12" s="36">
        <v>10</v>
      </c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18" x14ac:dyDescent="0.35">
      <c r="A13" s="36">
        <v>11</v>
      </c>
      <c r="B13" s="37" t="s">
        <v>60</v>
      </c>
      <c r="C13" s="37"/>
      <c r="D13" s="37">
        <v>1</v>
      </c>
      <c r="E13" s="37">
        <v>1</v>
      </c>
      <c r="F13" s="37">
        <v>1</v>
      </c>
      <c r="G13" s="37"/>
      <c r="H13" s="37"/>
      <c r="I13" s="37"/>
      <c r="J13" s="37"/>
      <c r="K13" s="37"/>
      <c r="L13" s="37"/>
      <c r="M13" s="37"/>
      <c r="N13" s="37"/>
      <c r="O13" s="37"/>
    </row>
    <row r="14" spans="1:15" ht="18" x14ac:dyDescent="0.35">
      <c r="A14" s="36">
        <v>12</v>
      </c>
      <c r="B14" s="35" t="s">
        <v>43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5" ht="18" x14ac:dyDescent="0.35">
      <c r="A15" s="36">
        <v>13</v>
      </c>
      <c r="B15" s="35" t="s">
        <v>47</v>
      </c>
      <c r="C15" s="36"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ht="17.5" x14ac:dyDescent="0.35">
      <c r="A16" s="36"/>
      <c r="B16" s="45" t="s">
        <v>64</v>
      </c>
      <c r="C16" s="36"/>
      <c r="D16" s="36"/>
      <c r="E16" s="36"/>
      <c r="F16" s="36">
        <v>1</v>
      </c>
      <c r="G16" s="36"/>
      <c r="H16" s="36"/>
      <c r="I16" s="36"/>
      <c r="J16" s="36"/>
      <c r="K16" s="36"/>
      <c r="L16" s="36"/>
      <c r="M16" s="36"/>
      <c r="N16" s="36"/>
      <c r="O16" s="36"/>
    </row>
    <row r="17" spans="1:15" ht="18" x14ac:dyDescent="0.35">
      <c r="A17" s="36">
        <v>14</v>
      </c>
      <c r="B17" s="35" t="s">
        <v>48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15" ht="18" x14ac:dyDescent="0.35">
      <c r="A18" s="36">
        <v>15</v>
      </c>
      <c r="B18" s="35" t="s">
        <v>49</v>
      </c>
      <c r="C18" s="36"/>
      <c r="D18" s="36"/>
      <c r="E18" s="36">
        <v>1</v>
      </c>
      <c r="F18" s="36">
        <v>1</v>
      </c>
      <c r="G18" s="36"/>
      <c r="H18" s="36"/>
      <c r="I18" s="36"/>
      <c r="J18" s="36"/>
      <c r="K18" s="36"/>
      <c r="L18" s="36"/>
      <c r="M18" s="36"/>
      <c r="N18" s="36"/>
      <c r="O18" s="36"/>
    </row>
    <row r="19" spans="1:15" ht="18" x14ac:dyDescent="0.35">
      <c r="A19" s="36">
        <v>16</v>
      </c>
      <c r="B19" s="35" t="s">
        <v>55</v>
      </c>
      <c r="C19" s="36">
        <v>1</v>
      </c>
      <c r="D19" s="36"/>
      <c r="E19" s="36">
        <v>1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1:15" ht="18" x14ac:dyDescent="0.35">
      <c r="A20" s="36"/>
      <c r="B20" s="35" t="s">
        <v>47</v>
      </c>
      <c r="C20" s="36">
        <v>1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spans="1:15" ht="18" x14ac:dyDescent="0.35">
      <c r="A21" s="36">
        <v>17</v>
      </c>
      <c r="B21" s="35" t="s">
        <v>50</v>
      </c>
      <c r="C21" s="36"/>
      <c r="D21" s="36"/>
      <c r="E21" s="36">
        <v>2</v>
      </c>
      <c r="F21" s="36">
        <v>3</v>
      </c>
      <c r="G21" s="36"/>
      <c r="H21" s="36"/>
      <c r="I21" s="36"/>
      <c r="J21" s="36"/>
      <c r="K21" s="36"/>
      <c r="L21" s="36"/>
      <c r="M21" s="36"/>
      <c r="N21" s="36"/>
      <c r="O21" s="36"/>
    </row>
    <row r="22" spans="1:15" ht="20" x14ac:dyDescent="0.4">
      <c r="A22" s="36"/>
      <c r="B22" s="39" t="s">
        <v>61</v>
      </c>
      <c r="C22" s="36"/>
      <c r="D22" s="36"/>
      <c r="E22" s="36">
        <v>4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1:15" ht="18" x14ac:dyDescent="0.35">
      <c r="A23" s="36">
        <v>18</v>
      </c>
      <c r="B23" s="35" t="s">
        <v>45</v>
      </c>
      <c r="C23" s="36">
        <v>3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spans="1:15" ht="18" x14ac:dyDescent="0.35">
      <c r="A24" s="36">
        <v>19</v>
      </c>
      <c r="B24" s="35" t="s">
        <v>52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</row>
    <row r="25" spans="1:15" ht="18" x14ac:dyDescent="0.35">
      <c r="A25" s="36"/>
      <c r="B25" s="35" t="s">
        <v>23</v>
      </c>
      <c r="C25" s="36">
        <f>SUM(C3:C24)</f>
        <v>272</v>
      </c>
      <c r="D25" s="36">
        <f>SUM(D3:D24)</f>
        <v>285</v>
      </c>
      <c r="E25" s="36">
        <f>SUM(E3:E24)</f>
        <v>311</v>
      </c>
      <c r="F25" s="36">
        <f>SUM(F3:F24)</f>
        <v>259</v>
      </c>
      <c r="G25" s="36"/>
      <c r="H25" s="36"/>
      <c r="I25" s="36"/>
      <c r="J25" s="36"/>
      <c r="K25" s="36"/>
      <c r="L25" s="36"/>
      <c r="M25" s="36"/>
      <c r="N25" s="36"/>
      <c r="O25" s="38"/>
    </row>
    <row r="26" spans="1:15" ht="17.5" x14ac:dyDescent="0.35">
      <c r="A26" s="36"/>
      <c r="B26" s="36"/>
      <c r="C26" s="36" t="s">
        <v>54</v>
      </c>
      <c r="D26" s="36" t="s">
        <v>63</v>
      </c>
      <c r="E26" s="36" t="s">
        <v>62</v>
      </c>
      <c r="F26" s="36" t="s">
        <v>66</v>
      </c>
      <c r="G26" s="36"/>
      <c r="H26" s="36"/>
      <c r="I26" s="36"/>
      <c r="J26" s="36"/>
      <c r="K26" s="36"/>
      <c r="L26" s="36"/>
      <c r="M26" s="36"/>
      <c r="N26" s="36"/>
      <c r="O26" s="36"/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COUNT</vt:lpstr>
      <vt:lpstr>2024</vt:lpstr>
      <vt:lpstr>2025</vt:lpstr>
      <vt:lpstr>NGS</vt:lpstr>
      <vt:lpstr>NICS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Dr.muthukumaran</dc:creator>
  <dc:description/>
  <cp:lastModifiedBy>dhanush anderson</cp:lastModifiedBy>
  <cp:revision>11</cp:revision>
  <dcterms:created xsi:type="dcterms:W3CDTF">2022-08-24T11:46:23Z</dcterms:created>
  <dcterms:modified xsi:type="dcterms:W3CDTF">2026-05-09T04:49:20Z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